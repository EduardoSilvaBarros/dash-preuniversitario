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rupoeducad-my.sharepoint.com/personal/esilvab_sise_edu_pe/Documents/Escritorio/ANALISTA DE DESARROLLO/Modelos Financieros/Pre - Universitaro/Insumos/Mapa/"/>
    </mc:Choice>
  </mc:AlternateContent>
  <xr:revisionPtr revIDLastSave="11" documentId="13_ncr:1_{AD7999D4-23C4-480A-A72B-D26E53D29237}" xr6:coauthVersionLast="47" xr6:coauthVersionMax="47" xr10:uidLastSave="{CAADBDD7-0233-4ABA-B8BE-80FC4927B11C}"/>
  <bookViews>
    <workbookView xWindow="-108" yWindow="-108" windowWidth="23256" windowHeight="12456" tabRatio="500" activeTab="1" xr2:uid="{00000000-000D-0000-FFFF-FFFF00000000}"/>
  </bookViews>
  <sheets>
    <sheet name="Mercado" sheetId="1" r:id="rId1"/>
    <sheet name="Demanda_Se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" i="1" l="1"/>
  <c r="E8" i="1"/>
  <c r="E11" i="1" s="1"/>
  <c r="H17" i="2"/>
  <c r="C17" i="2"/>
  <c r="D14" i="2" s="1"/>
  <c r="D13" i="2"/>
  <c r="D9" i="2"/>
  <c r="D5" i="2"/>
  <c r="C11" i="1"/>
  <c r="D11" i="1" s="1"/>
  <c r="B11" i="1"/>
  <c r="E10" i="1"/>
  <c r="H10" i="1" s="1"/>
  <c r="J10" i="1" s="1"/>
  <c r="D10" i="1"/>
  <c r="E9" i="1"/>
  <c r="H9" i="1" s="1"/>
  <c r="J9" i="1" s="1"/>
  <c r="D9" i="1"/>
  <c r="D8" i="1"/>
  <c r="D7" i="2" l="1"/>
  <c r="D11" i="2"/>
  <c r="D15" i="2"/>
  <c r="D8" i="2"/>
  <c r="D12" i="2"/>
  <c r="D16" i="2"/>
  <c r="D6" i="2"/>
  <c r="D17" i="2" s="1"/>
  <c r="D10" i="2"/>
  <c r="H11" i="1" l="1"/>
  <c r="J8" i="1"/>
  <c r="J11" i="1" s="1"/>
  <c r="E14" i="2" l="1"/>
  <c r="G14" i="2" s="1"/>
  <c r="E10" i="2"/>
  <c r="G10" i="2" s="1"/>
  <c r="E6" i="2"/>
  <c r="G6" i="2" s="1"/>
  <c r="E13" i="2"/>
  <c r="G13" i="2" s="1"/>
  <c r="E9" i="2"/>
  <c r="G9" i="2" s="1"/>
  <c r="E5" i="2"/>
  <c r="E16" i="2"/>
  <c r="G16" i="2" s="1"/>
  <c r="E12" i="2"/>
  <c r="G12" i="2" s="1"/>
  <c r="E8" i="2"/>
  <c r="G8" i="2" s="1"/>
  <c r="E15" i="2"/>
  <c r="G15" i="2" s="1"/>
  <c r="E11" i="2"/>
  <c r="G11" i="2" s="1"/>
  <c r="E7" i="2"/>
  <c r="G7" i="2" s="1"/>
  <c r="E17" i="2" l="1"/>
  <c r="G5" i="2"/>
  <c r="G17" i="2" s="1"/>
  <c r="F17" i="2" l="1"/>
</calcChain>
</file>

<file path=xl/sharedStrings.xml><?xml version="1.0" encoding="utf-8"?>
<sst xmlns="http://schemas.openxmlformats.org/spreadsheetml/2006/main" count="57" uniqueCount="49">
  <si>
    <t>Demanda — Tamaño de mercado del preuniversitario (Lima)</t>
  </si>
  <si>
    <t>Año base</t>
  </si>
  <si>
    <t>Mercado = postulantes (proyectados) que se preparan en academia. El % no ingresa es informativo (demanda recurrente), no filtra el mercado.</t>
  </si>
  <si>
    <t>Año objetivo</t>
  </si>
  <si>
    <t>Crecimiento anual postulantes</t>
  </si>
  <si>
    <t>Universidad</t>
  </si>
  <si>
    <t>Postulantes 2025</t>
  </si>
  <si>
    <t>Ingresantes 2025</t>
  </si>
  <si>
    <t>% no ingresa (info)</t>
  </si>
  <si>
    <t>Postulantes ’26 (proy.)</t>
  </si>
  <si>
    <t>% alcanzable (Lima)</t>
  </si>
  <si>
    <t>% usa academia</t>
  </si>
  <si>
    <t>Mercado de preu</t>
  </si>
  <si>
    <t>% market share</t>
  </si>
  <si>
    <t>Alumnos objetivo</t>
  </si>
  <si>
    <t>San Marcos</t>
  </si>
  <si>
    <t>UNI</t>
  </si>
  <si>
    <t>PUCP (Cato)</t>
  </si>
  <si>
    <t>TOTAL</t>
  </si>
  <si>
    <t>Mercado de preu = postulantes proy. × alcanzable × usa academia. Objetivo = market share (fila global de referencia; el detalle por sede está en Demanda_Sede).</t>
  </si>
  <si>
    <t>Fuente postulantes/ingresantes: TUNI/SUNEDU 2025. % usa academia: estimado anclado a industria (ADUNI/obepe).</t>
  </si>
  <si>
    <t>Demanda por sede — reparto geográfico y captación diferenciada</t>
  </si>
  <si>
    <t>Driver = población distrital INEI 2025. Captación por sede: más alta donde el mercado es mayor; editable (afinar con competencia 5km).</t>
  </si>
  <si>
    <t>Sede</t>
  </si>
  <si>
    <t>Distrito</t>
  </si>
  <si>
    <t>Pob. 2025</t>
  </si>
  <si>
    <t>% peso</t>
  </si>
  <si>
    <t>Mercado asignado</t>
  </si>
  <si>
    <t>% captación sede</t>
  </si>
  <si>
    <t>Capacidad ref. (3 aulas)</t>
  </si>
  <si>
    <t>San Juan de Lurigancho</t>
  </si>
  <si>
    <t>SJL</t>
  </si>
  <si>
    <t>Comas</t>
  </si>
  <si>
    <t>Ate</t>
  </si>
  <si>
    <t>San Juan de Miraflores</t>
  </si>
  <si>
    <t>SJM</t>
  </si>
  <si>
    <t>Villa El Salvador</t>
  </si>
  <si>
    <t>Surco</t>
  </si>
  <si>
    <t>Santiago de Surco</t>
  </si>
  <si>
    <t>Santa Beatriz</t>
  </si>
  <si>
    <t>Cercado de Lima</t>
  </si>
  <si>
    <t>Ventanilla</t>
  </si>
  <si>
    <t>Ventanilla (Callao)</t>
  </si>
  <si>
    <t>Puente Piedra</t>
  </si>
  <si>
    <t>Independencia</t>
  </si>
  <si>
    <t>San Miguel</t>
  </si>
  <si>
    <t>Cantuarias Miraflores</t>
  </si>
  <si>
    <t>Miraflores</t>
  </si>
  <si>
    <t>Captación diferenciada: 8% sedes de alta demanda (Lima Norte/Este/Sur), 6% media, 4% baja. Editable por sede.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</si>
</sst>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;\-"/>
  </numFmts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8"/>
      <color rgb="FF7F7F7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left" vertical="center"/>
    </xf>
    <xf numFmtId="1" fontId="3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/>
    <xf numFmtId="165" fontId="7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zoomScaleNormal="100" workbookViewId="0">
      <selection activeCell="E13" sqref="E13"/>
    </sheetView>
  </sheetViews>
  <sheetFormatPr baseColWidth="10" defaultColWidth="8.6640625" defaultRowHeight="14.4" x14ac:dyDescent="0.3"/>
  <cols>
    <col min="1" max="1" width="24.6640625" customWidth="1"/>
    <col min="2" max="2" width="15" customWidth="1"/>
    <col min="3" max="3" width="21.88671875" customWidth="1"/>
    <col min="4" max="4" width="22.109375" customWidth="1"/>
    <col min="5" max="5" width="29.109375" customWidth="1"/>
    <col min="6" max="6" width="21.88671875" customWidth="1"/>
    <col min="7" max="7" width="19.88671875" customWidth="1"/>
    <col min="8" max="8" width="17.6640625" customWidth="1"/>
    <col min="9" max="9" width="18.5546875" customWidth="1"/>
    <col min="10" max="10" width="15.88671875" customWidth="1"/>
  </cols>
  <sheetData>
    <row r="1" spans="1:10" ht="24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3" spans="1:10" x14ac:dyDescent="0.3">
      <c r="A3" s="1" t="s">
        <v>1</v>
      </c>
      <c r="B3" s="2">
        <v>2025</v>
      </c>
      <c r="D3" s="3" t="s">
        <v>2</v>
      </c>
    </row>
    <row r="4" spans="1:10" x14ac:dyDescent="0.3">
      <c r="A4" s="1" t="s">
        <v>3</v>
      </c>
      <c r="B4" s="2">
        <v>2026</v>
      </c>
    </row>
    <row r="5" spans="1:10" x14ac:dyDescent="0.3">
      <c r="A5" s="1" t="s">
        <v>4</v>
      </c>
      <c r="B5" s="4">
        <v>0.02</v>
      </c>
    </row>
    <row r="7" spans="1:10" x14ac:dyDescent="0.3">
      <c r="A7" s="5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</row>
    <row r="8" spans="1:10" x14ac:dyDescent="0.3">
      <c r="A8" s="7" t="s">
        <v>15</v>
      </c>
      <c r="B8" s="8">
        <v>88976</v>
      </c>
      <c r="C8" s="8">
        <v>9918</v>
      </c>
      <c r="D8" s="9">
        <f>1-C8/B8</f>
        <v>0.888531738895882</v>
      </c>
      <c r="E8" s="10">
        <f>ROUND(B8*(1+$B$5)^($B$4-$B$3),0)</f>
        <v>90756</v>
      </c>
      <c r="F8" s="11">
        <v>0.55000000000000004</v>
      </c>
      <c r="G8" s="11">
        <v>0.8</v>
      </c>
      <c r="H8" s="10">
        <f>E8*F8*G8</f>
        <v>39932.640000000007</v>
      </c>
      <c r="I8" s="11">
        <v>0.05</v>
      </c>
      <c r="J8" s="10">
        <f>H8*I8</f>
        <v>1996.6320000000005</v>
      </c>
    </row>
    <row r="9" spans="1:10" x14ac:dyDescent="0.3">
      <c r="A9" s="7" t="s">
        <v>16</v>
      </c>
      <c r="B9" s="8">
        <v>15705</v>
      </c>
      <c r="C9" s="8">
        <v>2756</v>
      </c>
      <c r="D9" s="9">
        <f>1-C9/B9</f>
        <v>0.82451448583253739</v>
      </c>
      <c r="E9" s="10">
        <f>ROUND(B9*(1+$B$5)^($B$4-$B$3),0)</f>
        <v>16019</v>
      </c>
      <c r="F9" s="11">
        <v>0.65</v>
      </c>
      <c r="G9" s="11">
        <v>0.7</v>
      </c>
      <c r="H9" s="10">
        <f>E9*F9*G9</f>
        <v>7288.6449999999995</v>
      </c>
      <c r="I9" s="11">
        <v>0.05</v>
      </c>
      <c r="J9" s="10">
        <f>H9*I9</f>
        <v>364.43225000000001</v>
      </c>
    </row>
    <row r="10" spans="1:10" x14ac:dyDescent="0.3">
      <c r="A10" s="7" t="s">
        <v>17</v>
      </c>
      <c r="B10" s="8">
        <v>24125</v>
      </c>
      <c r="C10" s="8">
        <v>8669</v>
      </c>
      <c r="D10" s="9">
        <f>1-C10/B10</f>
        <v>0.64066321243523316</v>
      </c>
      <c r="E10" s="10">
        <f>ROUND(B10*(1+$B$5)^($B$4-$B$3),0)</f>
        <v>24608</v>
      </c>
      <c r="F10" s="11">
        <v>0.8</v>
      </c>
      <c r="G10" s="11">
        <v>0.7</v>
      </c>
      <c r="H10" s="10">
        <f>E10*F10*G10</f>
        <v>13780.48</v>
      </c>
      <c r="I10" s="11">
        <v>0.05</v>
      </c>
      <c r="J10" s="10">
        <f>H10*I10</f>
        <v>689.024</v>
      </c>
    </row>
    <row r="11" spans="1:10" x14ac:dyDescent="0.3">
      <c r="A11" s="12" t="s">
        <v>18</v>
      </c>
      <c r="B11" s="13">
        <f>SUM(B8:B10)</f>
        <v>128806</v>
      </c>
      <c r="C11" s="13">
        <f>SUM(C8:C10)</f>
        <v>21343</v>
      </c>
      <c r="D11" s="14">
        <f>1-C11/B11</f>
        <v>0.83430119714920115</v>
      </c>
      <c r="E11" s="13">
        <f>SUM(E8:E10)</f>
        <v>131383</v>
      </c>
      <c r="F11" s="15"/>
      <c r="G11" s="15"/>
      <c r="H11" s="13">
        <f>SUM(H8:H10)</f>
        <v>61001.764999999999</v>
      </c>
      <c r="I11" s="15"/>
      <c r="J11" s="13">
        <f>SUM(J8:J10)</f>
        <v>3050.0882500000002</v>
      </c>
    </row>
    <row r="13" spans="1:10" x14ac:dyDescent="0.3">
      <c r="A13" s="3" t="s">
        <v>19</v>
      </c>
    </row>
    <row r="14" spans="1:10" x14ac:dyDescent="0.3">
      <c r="A14" s="3" t="s">
        <v>20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tabSelected="1" zoomScaleNormal="100" workbookViewId="0">
      <selection activeCell="E5" sqref="E5"/>
    </sheetView>
  </sheetViews>
  <sheetFormatPr baseColWidth="10" defaultColWidth="8.6640625" defaultRowHeight="14.4" x14ac:dyDescent="0.3"/>
  <cols>
    <col min="1" max="1" width="24" customWidth="1"/>
    <col min="2" max="2" width="18" customWidth="1"/>
    <col min="3" max="4" width="15" customWidth="1"/>
    <col min="5" max="6" width="17.88671875" customWidth="1"/>
    <col min="7" max="7" width="22.5546875" customWidth="1"/>
    <col min="8" max="8" width="22.77734375" customWidth="1"/>
  </cols>
  <sheetData>
    <row r="1" spans="1:8" ht="24" customHeight="1" x14ac:dyDescent="0.3">
      <c r="A1" s="17" t="s">
        <v>21</v>
      </c>
      <c r="B1" s="17"/>
      <c r="C1" s="17"/>
      <c r="D1" s="17"/>
      <c r="E1" s="17"/>
      <c r="F1" s="17"/>
      <c r="G1" s="17"/>
      <c r="H1" s="17"/>
    </row>
    <row r="3" spans="1:8" ht="15" customHeight="1" x14ac:dyDescent="0.3">
      <c r="A3" s="3" t="s">
        <v>22</v>
      </c>
    </row>
    <row r="4" spans="1:8" ht="15" customHeight="1" x14ac:dyDescent="0.3">
      <c r="A4" s="5" t="s">
        <v>23</v>
      </c>
      <c r="B4" s="5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14</v>
      </c>
      <c r="H4" s="6" t="s">
        <v>29</v>
      </c>
    </row>
    <row r="5" spans="1:8" ht="15" customHeight="1" x14ac:dyDescent="0.3">
      <c r="A5" s="7" t="s">
        <v>30</v>
      </c>
      <c r="B5" s="7" t="s">
        <v>31</v>
      </c>
      <c r="C5" s="8">
        <v>1319232</v>
      </c>
      <c r="D5" s="9">
        <f t="shared" ref="D5:D16" si="0">IFERROR(C5/$C$17,0)</f>
        <v>0.2514672698278238</v>
      </c>
      <c r="E5" s="16">
        <f>Mercado!$H$11*D5</f>
        <v>15339.947299228497</v>
      </c>
      <c r="F5" s="11">
        <v>0.05</v>
      </c>
      <c r="G5" s="10">
        <f t="shared" ref="G5:G16" si="1">E5*F5</f>
        <v>766.99736496142486</v>
      </c>
      <c r="H5" s="8">
        <v>57</v>
      </c>
    </row>
    <row r="6" spans="1:8" ht="15" customHeight="1" x14ac:dyDescent="0.3">
      <c r="A6" s="7" t="s">
        <v>32</v>
      </c>
      <c r="B6" s="7" t="s">
        <v>32</v>
      </c>
      <c r="C6" s="8">
        <v>633491</v>
      </c>
      <c r="D6" s="9">
        <f t="shared" si="0"/>
        <v>0.1207537811624475</v>
      </c>
      <c r="E6" s="16">
        <f>Mercado!$H$11*D6</f>
        <v>7366.1937813330496</v>
      </c>
      <c r="F6" s="11">
        <v>0.05</v>
      </c>
      <c r="G6" s="10">
        <f t="shared" si="1"/>
        <v>368.30968906665248</v>
      </c>
      <c r="H6" s="8">
        <v>57</v>
      </c>
    </row>
    <row r="7" spans="1:8" ht="15" customHeight="1" x14ac:dyDescent="0.3">
      <c r="A7" s="7" t="s">
        <v>33</v>
      </c>
      <c r="B7" s="7" t="s">
        <v>33</v>
      </c>
      <c r="C7" s="8">
        <v>617099</v>
      </c>
      <c r="D7" s="9">
        <f t="shared" si="0"/>
        <v>0.11762919694449517</v>
      </c>
      <c r="E7" s="16">
        <f>Mercado!$H$11*D7</f>
        <v>7175.5886291468123</v>
      </c>
      <c r="F7" s="11">
        <v>0.05</v>
      </c>
      <c r="G7" s="10">
        <f t="shared" si="1"/>
        <v>358.77943145734065</v>
      </c>
      <c r="H7" s="8">
        <v>57</v>
      </c>
    </row>
    <row r="8" spans="1:8" ht="15" customHeight="1" x14ac:dyDescent="0.3">
      <c r="A8" s="7" t="s">
        <v>34</v>
      </c>
      <c r="B8" s="7" t="s">
        <v>35</v>
      </c>
      <c r="C8" s="8">
        <v>539197</v>
      </c>
      <c r="D8" s="9">
        <f t="shared" si="0"/>
        <v>0.10277979725276003</v>
      </c>
      <c r="E8" s="16">
        <f>Mercado!$H$11*D8</f>
        <v>6269.749038760513</v>
      </c>
      <c r="F8" s="11">
        <v>0.05</v>
      </c>
      <c r="G8" s="10">
        <f t="shared" si="1"/>
        <v>313.48745193802569</v>
      </c>
      <c r="H8" s="8">
        <v>57</v>
      </c>
    </row>
    <row r="9" spans="1:8" ht="15" customHeight="1" x14ac:dyDescent="0.3">
      <c r="A9" s="7" t="s">
        <v>36</v>
      </c>
      <c r="B9" s="7" t="s">
        <v>36</v>
      </c>
      <c r="C9" s="8">
        <v>506664</v>
      </c>
      <c r="D9" s="9">
        <f t="shared" si="0"/>
        <v>9.6578473536151732E-2</v>
      </c>
      <c r="E9" s="16">
        <f>Mercado!$H$11*D9</f>
        <v>5891.4573467110467</v>
      </c>
      <c r="F9" s="11">
        <v>0.05</v>
      </c>
      <c r="G9" s="10">
        <f t="shared" si="1"/>
        <v>294.57286733555236</v>
      </c>
      <c r="H9" s="8">
        <v>57</v>
      </c>
    </row>
    <row r="10" spans="1:8" ht="15" customHeight="1" x14ac:dyDescent="0.3">
      <c r="A10" s="7" t="s">
        <v>37</v>
      </c>
      <c r="B10" s="7" t="s">
        <v>38</v>
      </c>
      <c r="C10" s="8">
        <v>326580</v>
      </c>
      <c r="D10" s="9">
        <f t="shared" si="0"/>
        <v>6.2251507680507072E-2</v>
      </c>
      <c r="E10" s="16">
        <f>Mercado!$H$11*D10</f>
        <v>3797.4518424219873</v>
      </c>
      <c r="F10" s="11">
        <v>0.05</v>
      </c>
      <c r="G10" s="10">
        <f t="shared" si="1"/>
        <v>189.87259212109939</v>
      </c>
      <c r="H10" s="8">
        <v>57</v>
      </c>
    </row>
    <row r="11" spans="1:8" ht="15" customHeight="1" x14ac:dyDescent="0.3">
      <c r="A11" s="7" t="s">
        <v>39</v>
      </c>
      <c r="B11" s="7" t="s">
        <v>40</v>
      </c>
      <c r="C11" s="8">
        <v>308548</v>
      </c>
      <c r="D11" s="9">
        <f t="shared" si="0"/>
        <v>5.8814312547630275E-2</v>
      </c>
      <c r="E11" s="16">
        <f>Mercado!$H$11*D11</f>
        <v>3587.7768726670934</v>
      </c>
      <c r="F11" s="11">
        <v>0.05</v>
      </c>
      <c r="G11" s="10">
        <f t="shared" si="1"/>
        <v>179.38884363335467</v>
      </c>
      <c r="H11" s="8">
        <v>57</v>
      </c>
    </row>
    <row r="12" spans="1:8" ht="15" customHeight="1" x14ac:dyDescent="0.3">
      <c r="A12" s="7" t="s">
        <v>41</v>
      </c>
      <c r="B12" s="7" t="s">
        <v>42</v>
      </c>
      <c r="C12" s="8">
        <v>271948</v>
      </c>
      <c r="D12" s="9">
        <f t="shared" si="0"/>
        <v>5.1837751885291619E-2</v>
      </c>
      <c r="E12" s="16">
        <f>Mercado!$H$11*D12</f>
        <v>3162.1943586348661</v>
      </c>
      <c r="F12" s="11">
        <v>0.05</v>
      </c>
      <c r="G12" s="10">
        <f t="shared" si="1"/>
        <v>158.10971793174332</v>
      </c>
      <c r="H12" s="8">
        <v>57</v>
      </c>
    </row>
    <row r="13" spans="1:8" ht="15" customHeight="1" x14ac:dyDescent="0.3">
      <c r="A13" s="7" t="s">
        <v>43</v>
      </c>
      <c r="B13" s="7" t="s">
        <v>43</v>
      </c>
      <c r="C13" s="8">
        <v>263002</v>
      </c>
      <c r="D13" s="9">
        <f t="shared" si="0"/>
        <v>5.0132497467660971E-2</v>
      </c>
      <c r="E13" s="16">
        <f>Mercado!$H$11*D13</f>
        <v>3058.1708293853494</v>
      </c>
      <c r="F13" s="11">
        <v>0.05</v>
      </c>
      <c r="G13" s="10">
        <f t="shared" si="1"/>
        <v>152.90854146926748</v>
      </c>
      <c r="H13" s="8">
        <v>57</v>
      </c>
    </row>
    <row r="14" spans="1:8" ht="15" customHeight="1" x14ac:dyDescent="0.3">
      <c r="A14" s="7" t="s">
        <v>44</v>
      </c>
      <c r="B14" s="7" t="s">
        <v>44</v>
      </c>
      <c r="C14" s="8">
        <v>235922</v>
      </c>
      <c r="D14" s="9">
        <f t="shared" si="0"/>
        <v>4.4970605043176522E-2</v>
      </c>
      <c r="E14" s="16">
        <f>Mercado!$H$11*D14</f>
        <v>2743.286280751669</v>
      </c>
      <c r="F14" s="11">
        <v>0.05</v>
      </c>
      <c r="G14" s="10">
        <f t="shared" si="1"/>
        <v>137.16431403758347</v>
      </c>
      <c r="H14" s="8">
        <v>57</v>
      </c>
    </row>
    <row r="15" spans="1:8" ht="15" customHeight="1" x14ac:dyDescent="0.3">
      <c r="A15" s="7" t="s">
        <v>45</v>
      </c>
      <c r="B15" s="7" t="s">
        <v>45</v>
      </c>
      <c r="C15" s="8">
        <v>155021</v>
      </c>
      <c r="D15" s="9">
        <f t="shared" si="0"/>
        <v>2.9549546733235E-2</v>
      </c>
      <c r="E15" s="16">
        <f>Mercado!$H$11*D15</f>
        <v>1802.5745056773192</v>
      </c>
      <c r="F15" s="11">
        <v>0.05</v>
      </c>
      <c r="G15" s="10">
        <f t="shared" si="1"/>
        <v>90.128725283865961</v>
      </c>
      <c r="H15" s="8">
        <v>57</v>
      </c>
    </row>
    <row r="16" spans="1:8" ht="15" customHeight="1" x14ac:dyDescent="0.3">
      <c r="A16" s="7" t="s">
        <v>46</v>
      </c>
      <c r="B16" s="7" t="s">
        <v>47</v>
      </c>
      <c r="C16" s="8">
        <v>69434</v>
      </c>
      <c r="D16" s="9">
        <f t="shared" si="0"/>
        <v>1.3235259918820283E-2</v>
      </c>
      <c r="E16" s="16">
        <f>Mercado!$H$11*D16</f>
        <v>807.37421528179402</v>
      </c>
      <c r="F16" s="11">
        <v>0.05</v>
      </c>
      <c r="G16" s="10">
        <f t="shared" si="1"/>
        <v>40.368710764089705</v>
      </c>
      <c r="H16" s="8">
        <v>57</v>
      </c>
    </row>
    <row r="17" spans="1:8" ht="15" customHeight="1" x14ac:dyDescent="0.3">
      <c r="A17" s="12" t="s">
        <v>18</v>
      </c>
      <c r="B17" s="15"/>
      <c r="C17" s="13">
        <f>SUM(C5:C16)</f>
        <v>5246138</v>
      </c>
      <c r="D17" s="14">
        <f>SUM(D5:D16)</f>
        <v>0.99999999999999989</v>
      </c>
      <c r="E17" s="13">
        <f>SUM(E5:E16)</f>
        <v>61001.764999999992</v>
      </c>
      <c r="F17" s="14">
        <f>IFERROR(G17/E17,0)</f>
        <v>5.0000000000000017E-2</v>
      </c>
      <c r="G17" s="13">
        <f>SUM(G5:G16)</f>
        <v>3050.0882500000007</v>
      </c>
      <c r="H17" s="13">
        <f>SUM(H5:H16)</f>
        <v>684</v>
      </c>
    </row>
    <row r="19" spans="1:8" ht="15" customHeight="1" x14ac:dyDescent="0.3">
      <c r="A19" s="3" t="s">
        <v>48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Mercado</vt:lpstr>
      <vt:lpstr>Demanda_Sede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Eduardo Niels Silva Barros</cp:lastModifiedBy>
  <cp:revision>0</cp:revision>
  <dcterms:created xsi:type="dcterms:W3CDTF">2026-08-31T21:58:06Z</dcterms:created>
  <dcterms:modified xsi:type="dcterms:W3CDTF">2026-09-01T20:40:29Z</dcterms:modified>
  <dc:language>en-US</dc:language>
</cp:coreProperties>
</file>